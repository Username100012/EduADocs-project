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ção EduADocs" sheetId="1" r:id="rId4"/>
  </sheets>
  <definedNames/>
  <calcPr/>
</workbook>
</file>

<file path=xl/sharedStrings.xml><?xml version="1.0" encoding="utf-8"?>
<sst xmlns="http://schemas.openxmlformats.org/spreadsheetml/2006/main" count="61" uniqueCount="50">
  <si>
    <t>ID Participante</t>
  </si>
  <si>
    <r>
      <rPr/>
      <t xml:space="preserve">Para fazer a avaliação, acesse o projeto no link abaixo:
</t>
    </r>
    <r>
      <rPr>
        <color rgb="FF1155CC"/>
        <u/>
      </rPr>
      <t>https://eduadocs-document-generator.streamlit.app/</t>
    </r>
  </si>
  <si>
    <t>Em qual área você ensina? (Português, Matemática ou Computação, por exemplo)</t>
  </si>
  <si>
    <t>Qual sua idade?</t>
  </si>
  <si>
    <t>Quantos anos de experiência você tem na área da educação?</t>
  </si>
  <si>
    <t>Qual nível de ensino você atualmente trabalha?</t>
  </si>
  <si>
    <t>Acho que gostaria de usar este sistema com frequência.</t>
  </si>
  <si>
    <t>Achei o sistema desnecessariamente complexo.</t>
  </si>
  <si>
    <t>Achei o sistema fácil de usar.</t>
  </si>
  <si>
    <t>Acho que precisaria da ajuda de um técnico para poder usar este sistema.</t>
  </si>
  <si>
    <t>Achei que as várias funções deste sistema estavam bem integradas.</t>
  </si>
  <si>
    <t>Achei que havia muita inconsistência nesse sistema.</t>
  </si>
  <si>
    <t>Imagino que a maioria das pessoas aprenderia a usar esse sistema muito rapidamente.</t>
  </si>
  <si>
    <t>Achei o sistema muito complicado de utilizar.</t>
  </si>
  <si>
    <t>Senti-me muito confiante ao usar o sistema.</t>
  </si>
  <si>
    <t>Eu precisava aprender muitas coisas antes de poder começar a usar esse sistema.</t>
  </si>
  <si>
    <t>No geral, como você avalia sua experiência com o sistema EduADocs?</t>
  </si>
  <si>
    <t>Quais recursos ou aspectos específicos do sistema EduADocs você achou mais úteis?</t>
  </si>
  <si>
    <t>Por favor, forneça quaisquer comentários ou sugestões adicionais para melhorar o sistema EduADocs.</t>
  </si>
  <si>
    <t>D1</t>
  </si>
  <si>
    <t>Atesto que sou um professor que acessou e testou o site acima e posso fazer uma avaliação adequada.</t>
  </si>
  <si>
    <t xml:space="preserve">Matemática </t>
  </si>
  <si>
    <t>Ensino Superior</t>
  </si>
  <si>
    <t>Funcionalidade;Capacidade de resposta</t>
  </si>
  <si>
    <t>O meu doc Word veio um pouco alterado de maneira ilegível, talvez a maneira que o código levou pro app tenha sido não efetivo (usei o celular, não sei se no computador seria diferente). Aconselho à usar mais opções nos ensinos superiores, pelo menos em matemática que foi meu teste. Ademais, foi maravilhoso e usarei na minha oficina de Cálculo 1.</t>
  </si>
  <si>
    <t>D2</t>
  </si>
  <si>
    <t>Ensino Médio;Ensino Superior</t>
  </si>
  <si>
    <t>Funcional.</t>
  </si>
  <si>
    <t>D3</t>
  </si>
  <si>
    <t>Biologia</t>
  </si>
  <si>
    <t>Ensino Médio</t>
  </si>
  <si>
    <t>Design de Interface;Funcionalidade;Capacidade de resposta</t>
  </si>
  <si>
    <t>D4</t>
  </si>
  <si>
    <t>computação</t>
  </si>
  <si>
    <t>Infantil/Maternal</t>
  </si>
  <si>
    <t>Capacidade de resposta</t>
  </si>
  <si>
    <t>ser traduzido automaticamente, tempo não da opção de informar se é meses ou anos</t>
  </si>
  <si>
    <t>D5</t>
  </si>
  <si>
    <t>Tecnologia</t>
  </si>
  <si>
    <t>Técnico</t>
  </si>
  <si>
    <t>Funcionalidade</t>
  </si>
  <si>
    <t>Total</t>
  </si>
  <si>
    <t>Cálculo SUS</t>
  </si>
  <si>
    <t>Participante</t>
  </si>
  <si>
    <t>Pontuação Itens Ímpares (Soma de X − 1)</t>
  </si>
  <si>
    <t>Pontuação Itens Pares (Soma de 5 − X)</t>
  </si>
  <si>
    <t>Somatório Total</t>
  </si>
  <si>
    <t>Pontuação Final SUS (Somatório × 2,5)</t>
  </si>
  <si>
    <t>Média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</si>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</sst>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duadocs-document-generator.streamlit.ap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>
        <v>22.0</v>
      </c>
      <c r="E2" s="1">
        <v>1.0</v>
      </c>
      <c r="F2" s="1" t="s">
        <v>22</v>
      </c>
      <c r="G2" s="1">
        <v>5.0</v>
      </c>
      <c r="H2" s="1">
        <v>1.0</v>
      </c>
      <c r="I2" s="1">
        <v>5.0</v>
      </c>
      <c r="J2" s="1">
        <v>1.0</v>
      </c>
      <c r="K2" s="1">
        <v>5.0</v>
      </c>
      <c r="L2" s="1">
        <v>1.0</v>
      </c>
      <c r="M2" s="1">
        <v>5.0</v>
      </c>
      <c r="N2" s="1">
        <v>1.0</v>
      </c>
      <c r="O2" s="1">
        <v>5.0</v>
      </c>
      <c r="P2" s="1">
        <v>1.0</v>
      </c>
      <c r="Q2" s="1">
        <v>5.0</v>
      </c>
      <c r="R2" s="1" t="s">
        <v>23</v>
      </c>
      <c r="S2" s="1" t="s">
        <v>24</v>
      </c>
    </row>
    <row r="3">
      <c r="A3" s="1" t="s">
        <v>25</v>
      </c>
      <c r="B3" s="1" t="s">
        <v>20</v>
      </c>
      <c r="C3" s="1" t="s">
        <v>21</v>
      </c>
      <c r="D3" s="1">
        <v>60.0</v>
      </c>
      <c r="E3" s="1">
        <v>35.0</v>
      </c>
      <c r="F3" s="1" t="s">
        <v>26</v>
      </c>
      <c r="G3" s="1">
        <v>5.0</v>
      </c>
      <c r="H3" s="1">
        <v>1.0</v>
      </c>
      <c r="I3" s="1">
        <v>4.0</v>
      </c>
      <c r="J3" s="1">
        <v>3.0</v>
      </c>
      <c r="K3" s="1">
        <v>3.0</v>
      </c>
      <c r="L3" s="1">
        <v>2.0</v>
      </c>
      <c r="M3" s="1">
        <v>4.0</v>
      </c>
      <c r="N3" s="1">
        <v>1.0</v>
      </c>
      <c r="O3" s="1">
        <v>5.0</v>
      </c>
      <c r="P3" s="1">
        <v>4.0</v>
      </c>
      <c r="Q3" s="1">
        <v>5.0</v>
      </c>
      <c r="R3" s="1" t="s">
        <v>23</v>
      </c>
      <c r="S3" s="1" t="s">
        <v>27</v>
      </c>
    </row>
    <row r="4">
      <c r="A4" s="1" t="s">
        <v>28</v>
      </c>
      <c r="B4" s="1" t="s">
        <v>20</v>
      </c>
      <c r="C4" s="1" t="s">
        <v>29</v>
      </c>
      <c r="D4" s="1">
        <v>52.0</v>
      </c>
      <c r="E4" s="1">
        <v>27.0</v>
      </c>
      <c r="F4" s="1" t="s">
        <v>30</v>
      </c>
      <c r="G4" s="1">
        <v>4.0</v>
      </c>
      <c r="H4" s="1">
        <v>1.0</v>
      </c>
      <c r="I4" s="1">
        <v>5.0</v>
      </c>
      <c r="J4" s="1">
        <v>1.0</v>
      </c>
      <c r="K4" s="1">
        <v>5.0</v>
      </c>
      <c r="L4" s="1">
        <v>1.0</v>
      </c>
      <c r="M4" s="1">
        <v>4.0</v>
      </c>
      <c r="N4" s="1">
        <v>1.0</v>
      </c>
      <c r="O4" s="1">
        <v>5.0</v>
      </c>
      <c r="P4" s="1">
        <v>1.0</v>
      </c>
      <c r="Q4" s="1">
        <v>5.0</v>
      </c>
      <c r="R4" s="1" t="s">
        <v>31</v>
      </c>
    </row>
    <row r="5">
      <c r="A5" s="1" t="s">
        <v>32</v>
      </c>
      <c r="B5" s="1" t="s">
        <v>20</v>
      </c>
      <c r="C5" s="1" t="s">
        <v>33</v>
      </c>
      <c r="D5" s="1">
        <v>52.0</v>
      </c>
      <c r="E5" s="1">
        <v>10.0</v>
      </c>
      <c r="F5" s="1" t="s">
        <v>34</v>
      </c>
      <c r="G5" s="1">
        <v>3.0</v>
      </c>
      <c r="H5" s="1">
        <v>4.0</v>
      </c>
      <c r="I5" s="1">
        <v>2.0</v>
      </c>
      <c r="J5" s="1">
        <v>2.0</v>
      </c>
      <c r="K5" s="1">
        <v>4.0</v>
      </c>
      <c r="L5" s="1">
        <v>3.0</v>
      </c>
      <c r="M5" s="1">
        <v>2.0</v>
      </c>
      <c r="N5" s="1">
        <v>3.0</v>
      </c>
      <c r="O5" s="1">
        <v>3.0</v>
      </c>
      <c r="P5" s="1">
        <v>3.0</v>
      </c>
      <c r="Q5" s="1">
        <v>3.0</v>
      </c>
      <c r="R5" s="1" t="s">
        <v>35</v>
      </c>
      <c r="S5" s="1" t="s">
        <v>36</v>
      </c>
    </row>
    <row r="6">
      <c r="A6" s="1" t="s">
        <v>37</v>
      </c>
      <c r="B6" s="1" t="s">
        <v>20</v>
      </c>
      <c r="C6" s="1" t="s">
        <v>38</v>
      </c>
      <c r="D6" s="1">
        <v>37.0</v>
      </c>
      <c r="E6" s="1">
        <v>2.0</v>
      </c>
      <c r="F6" s="1" t="s">
        <v>39</v>
      </c>
      <c r="G6" s="1">
        <v>5.0</v>
      </c>
      <c r="H6" s="1">
        <v>1.0</v>
      </c>
      <c r="I6" s="1">
        <v>5.0</v>
      </c>
      <c r="J6" s="1">
        <v>2.0</v>
      </c>
      <c r="K6" s="1">
        <v>5.0</v>
      </c>
      <c r="L6" s="1">
        <v>1.0</v>
      </c>
      <c r="M6" s="1">
        <v>5.0</v>
      </c>
      <c r="N6" s="1">
        <v>2.0</v>
      </c>
      <c r="O6" s="1">
        <v>4.0</v>
      </c>
      <c r="P6" s="1">
        <v>2.0</v>
      </c>
      <c r="Q6" s="1">
        <v>5.0</v>
      </c>
      <c r="R6" s="1" t="s">
        <v>40</v>
      </c>
    </row>
    <row r="7">
      <c r="Q7" s="1" t="s">
        <v>41</v>
      </c>
    </row>
    <row r="8">
      <c r="E8" s="3" t="s">
        <v>42</v>
      </c>
    </row>
    <row r="9">
      <c r="E9" s="4" t="s">
        <v>43</v>
      </c>
      <c r="F9" s="5" t="s">
        <v>44</v>
      </c>
      <c r="G9" s="5" t="s">
        <v>45</v>
      </c>
      <c r="H9" s="4" t="s">
        <v>46</v>
      </c>
      <c r="I9" s="5" t="s">
        <v>47</v>
      </c>
    </row>
    <row r="10">
      <c r="E10" s="1" t="s">
        <v>19</v>
      </c>
      <c r="F10" s="6">
        <f t="shared" ref="F10:F14" si="1">(G2-1)+(I2-1)+(K2-1)+(M2-1)+(O2-1)</f>
        <v>20</v>
      </c>
      <c r="G10" s="1">
        <f t="shared" ref="G10:G14" si="2">(5-H2)+(5-J2)+(5-L2)+(5-N2)+(5-P2)</f>
        <v>20</v>
      </c>
      <c r="H10" s="6">
        <f t="shared" ref="H10:H14" si="3">SUM(F10:G10)</f>
        <v>40</v>
      </c>
      <c r="I10" s="6">
        <f t="shared" ref="I10:I14" si="4">H10*2.5</f>
        <v>100</v>
      </c>
    </row>
    <row r="11">
      <c r="E11" s="1" t="s">
        <v>25</v>
      </c>
      <c r="F11" s="6">
        <f t="shared" si="1"/>
        <v>16</v>
      </c>
      <c r="G11" s="1">
        <f t="shared" si="2"/>
        <v>14</v>
      </c>
      <c r="H11" s="6">
        <f t="shared" si="3"/>
        <v>30</v>
      </c>
      <c r="I11" s="6">
        <f t="shared" si="4"/>
        <v>75</v>
      </c>
    </row>
    <row r="12">
      <c r="E12" s="1" t="s">
        <v>28</v>
      </c>
      <c r="F12" s="6">
        <f t="shared" si="1"/>
        <v>18</v>
      </c>
      <c r="G12" s="1">
        <f t="shared" si="2"/>
        <v>20</v>
      </c>
      <c r="H12" s="6">
        <f t="shared" si="3"/>
        <v>38</v>
      </c>
      <c r="I12" s="6">
        <f t="shared" si="4"/>
        <v>95</v>
      </c>
    </row>
    <row r="13">
      <c r="E13" s="1" t="s">
        <v>32</v>
      </c>
      <c r="F13" s="6">
        <f t="shared" si="1"/>
        <v>9</v>
      </c>
      <c r="G13" s="1">
        <f t="shared" si="2"/>
        <v>10</v>
      </c>
      <c r="H13" s="6">
        <f t="shared" si="3"/>
        <v>19</v>
      </c>
      <c r="I13" s="6">
        <f t="shared" si="4"/>
        <v>47.5</v>
      </c>
    </row>
    <row r="14">
      <c r="E14" s="1" t="s">
        <v>37</v>
      </c>
      <c r="F14" s="6">
        <f t="shared" si="1"/>
        <v>19</v>
      </c>
      <c r="G14" s="1">
        <f t="shared" si="2"/>
        <v>17</v>
      </c>
      <c r="H14" s="6">
        <f t="shared" si="3"/>
        <v>36</v>
      </c>
      <c r="I14" s="6">
        <f t="shared" si="4"/>
        <v>90</v>
      </c>
    </row>
    <row r="15">
      <c r="H15" s="4" t="s">
        <v>48</v>
      </c>
      <c r="I15" s="6">
        <f>(I10+I11+I12+I13+I14)/5</f>
        <v>81.5</v>
      </c>
    </row>
    <row r="16">
      <c r="H16" s="4" t="s">
        <v>49</v>
      </c>
      <c r="I16" s="7">
        <f>STDEV(I10:I14)</f>
        <v>21.18372016</v>
      </c>
    </row>
  </sheetData>
  <mergeCells count="1">
    <mergeCell ref="E8:H8"/>
  </mergeCells>
  <hyperlinks>
    <hyperlink r:id="rId1" ref="B1"/>
  </hyperlinks>
  <drawing r:id="rId2"/>
</worksheet>
</file>